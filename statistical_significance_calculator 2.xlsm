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date1904="1" showInkAnnotation="0" autoCompressPictures="0"/>
  <mc:AlternateContent xmlns:mc="http://schemas.openxmlformats.org/markup-compatibility/2006">
    <mc:Choice Requires="x15">
      <x15ac:absPath xmlns:x15ac="http://schemas.microsoft.com/office/spreadsheetml/2010/11/ac" url="C:\Users\Brad\Documents\"/>
    </mc:Choice>
  </mc:AlternateContent>
  <bookViews>
    <workbookView xWindow="0" yWindow="0" windowWidth="24000" windowHeight="9735" tabRatio="500" activeTab="1"/>
  </bookViews>
  <sheets>
    <sheet name="t-test" sheetId="1" r:id="rId1"/>
    <sheet name="chi-sqr" sheetId="2" r:id="rId2"/>
  </sheets>
  <definedNames>
    <definedName name="E">'chi-sqr'!$B$24</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n_1">'t-test'!$B$13</definedName>
    <definedName name="n_2">'t-test'!$C$13</definedName>
    <definedName name="p">'t-test'!$B$23</definedName>
    <definedName name="p_1">'t-test'!$B$16</definedName>
    <definedName name="p_2">'t-test'!$C$16</definedName>
    <definedName name="SE">'t-test'!$B$24</definedName>
    <definedName name="Tail">'t-test'!$B$30:$B$31</definedName>
  </definedNames>
  <calcPr calcId="152511"/>
  <extLst>
    <ext xmlns:mx="http://schemas.microsoft.com/office/mac/excel/2008/main" uri="http://schemas.microsoft.com/office/mac/excel/2008/main">
      <mx:ArchID Flags="2"/>
    </ext>
  </extLst>
</workbook>
</file>

<file path=xl/calcChain.xml><?xml version="1.0" encoding="utf-8"?>
<calcChain xmlns="http://schemas.openxmlformats.org/spreadsheetml/2006/main">
  <c r="N8" i="2" l="1"/>
  <c r="N7" i="2"/>
  <c r="N6" i="2"/>
  <c r="N5" i="2"/>
  <c r="M6" i="2"/>
  <c r="L10" i="2"/>
  <c r="K10" i="2"/>
  <c r="M8" i="2"/>
  <c r="M7" i="2"/>
  <c r="M5" i="2"/>
  <c r="M4" i="2"/>
  <c r="M10" i="2" s="1"/>
  <c r="C24" i="2"/>
  <c r="B24" i="2"/>
  <c r="I30" i="2"/>
  <c r="B17" i="2"/>
  <c r="C17" i="2"/>
  <c r="B28" i="1"/>
  <c r="B16" i="1"/>
  <c r="B23" i="1"/>
  <c r="B24" i="1"/>
  <c r="B25" i="1" s="1"/>
  <c r="B29" i="1" s="1"/>
  <c r="C18" i="1" s="1"/>
  <c r="C19" i="1" s="1"/>
  <c r="C16" i="1"/>
  <c r="B25" i="2" l="1"/>
  <c r="C19" i="2" s="1"/>
  <c r="C20" i="2" s="1"/>
</calcChain>
</file>

<file path=xl/sharedStrings.xml><?xml version="1.0" encoding="utf-8"?>
<sst xmlns="http://schemas.openxmlformats.org/spreadsheetml/2006/main" count="73" uniqueCount="57">
  <si>
    <t>There are two types of test. 
One is when you do not know which group is going to perform better and your hypothesis is that they are just different. Here we are testing the hypothesis that the difference between the two conversion rates are statistically significant. This is the two tailed t-test. The result will tell you, when the difference is statistically significant, whether the treatment was better or worse.
The second is one-tailed t-test. Here you are testing the hypothesis that the treatment group will perform better than the control group and the difference between the two conversion rates are staistically significant. In case the t-stat value is negative (that is control group conversion is higher than treatment group and then the difference is automatically not statistically significant).
You need to decide whether you want to do two-tailed or one-tailed beforehand. You cannot change your mind when the two-tailed does not statistically significant difference.For more information please see here:</t>
  </si>
  <si>
    <t>Treatment group is DIFFERENT than Control group (2-tailed)</t>
  </si>
  <si>
    <t>1 and t-tailed test</t>
  </si>
  <si>
    <t xml:space="preserve">Why you need this test? This is a more skeptical test.  This test has higher threshold for differences, so small statistical anamolies don't look like real differences. For small conversion rates I recommend this over t-test. </t>
    <phoneticPr fontId="3" type="noConversion"/>
  </si>
  <si>
    <t>This is a one-tailed test (because we  square the differences there is no negative tail). Unlike the t-test which tests the difference between two conversions, here we are only measuring the converts to see if more came from one group.</t>
    <phoneticPr fontId="3" type="noConversion"/>
  </si>
  <si>
    <t>val to test</t>
    <phoneticPr fontId="3" type="noConversion"/>
  </si>
  <si>
    <r>
      <t>Treatment group is BETTER than Control group</t>
    </r>
    <r>
      <rPr>
        <sz val="10"/>
        <color indexed="60"/>
        <rFont val="Verdana"/>
        <family val="2"/>
      </rPr>
      <t xml:space="preserve"> (1-tailed)</t>
    </r>
    <phoneticPr fontId="3" type="noConversion"/>
  </si>
  <si>
    <r>
      <t>Treatment group is DIFFERENT than Control group</t>
    </r>
    <r>
      <rPr>
        <sz val="10"/>
        <color indexed="60"/>
        <rFont val="Verdana"/>
        <family val="2"/>
      </rPr>
      <t xml:space="preserve"> (2-tailed)</t>
    </r>
    <phoneticPr fontId="3" type="noConversion"/>
  </si>
  <si>
    <t xml:space="preserve">See here for more details </t>
    <phoneticPr fontId="3" type="noConversion"/>
  </si>
  <si>
    <t>Expected Value</t>
    <phoneticPr fontId="3" type="noConversion"/>
  </si>
  <si>
    <t>Chi-square test</t>
    <phoneticPr fontId="3" type="noConversion"/>
  </si>
  <si>
    <t>Chi-sqr</t>
    <phoneticPr fontId="3" type="noConversion"/>
  </si>
  <si>
    <t>Treatment group is DIFFERENT than Control group</t>
  </si>
  <si>
    <t>Conversion Rate</t>
    <phoneticPr fontId="3" type="noConversion"/>
  </si>
  <si>
    <t>Is the difference statistically significant?</t>
    <phoneticPr fontId="3" type="noConversion"/>
  </si>
  <si>
    <t>1-tailed</t>
    <phoneticPr fontId="3" type="noConversion"/>
  </si>
  <si>
    <t>Pooled sample proportion</t>
    <phoneticPr fontId="3" type="noConversion"/>
  </si>
  <si>
    <t>Standard Error</t>
    <phoneticPr fontId="3" type="noConversion"/>
  </si>
  <si>
    <t>t-stat</t>
    <phoneticPr fontId="3" type="noConversion"/>
  </si>
  <si>
    <t>1-tail 95% val</t>
    <phoneticPr fontId="3" type="noConversion"/>
  </si>
  <si>
    <t>2-tail 95% val</t>
    <phoneticPr fontId="3" type="noConversion"/>
  </si>
  <si>
    <t>val to use</t>
    <phoneticPr fontId="3" type="noConversion"/>
  </si>
  <si>
    <t>Testing for Statistical Significance in Controlled Experiments</t>
    <phoneticPr fontId="3" type="noConversion"/>
  </si>
  <si>
    <t>2-tailed:</t>
    <phoneticPr fontId="3" type="noConversion"/>
  </si>
  <si>
    <t>Control</t>
    <phoneticPr fontId="3" type="noConversion"/>
  </si>
  <si>
    <t>Treatment</t>
    <phoneticPr fontId="3" type="noConversion"/>
  </si>
  <si>
    <t>Number of Conversions</t>
    <phoneticPr fontId="3" type="noConversion"/>
  </si>
  <si>
    <t>Number of Test Participants</t>
    <phoneticPr fontId="3" type="noConversion"/>
  </si>
  <si>
    <t>&lt;--- Pick</t>
    <phoneticPr fontId="3" type="noConversion"/>
  </si>
  <si>
    <t>Under the hood: Don't touch this:</t>
  </si>
  <si>
    <t>By Rags Srinivasan:</t>
  </si>
  <si>
    <t>Twitter: @rags</t>
  </si>
  <si>
    <r>
      <rPr>
        <b/>
        <sz val="10"/>
        <rFont val="Verdana"/>
        <family val="2"/>
      </rPr>
      <t>Step 1:</t>
    </r>
    <r>
      <rPr>
        <sz val="10"/>
        <rFont val="Verdana"/>
        <family val="2"/>
      </rPr>
      <t xml:space="preserve"> Pick your hypothesis (No changing after the test)</t>
    </r>
  </si>
  <si>
    <r>
      <rPr>
        <b/>
        <sz val="10"/>
        <rFont val="Verdana"/>
        <family val="2"/>
      </rPr>
      <t xml:space="preserve">Step 2: </t>
    </r>
    <r>
      <rPr>
        <sz val="10"/>
        <rFont val="Verdana"/>
        <family val="2"/>
      </rPr>
      <t>Run your test and collect data</t>
    </r>
  </si>
  <si>
    <r>
      <rPr>
        <b/>
        <sz val="10"/>
        <rFont val="Verdana"/>
        <family val="2"/>
      </rPr>
      <t xml:space="preserve">Step 3: </t>
    </r>
    <r>
      <rPr>
        <sz val="10"/>
        <rFont val="Verdana"/>
        <family val="2"/>
      </rPr>
      <t>Calculation, Enter your data in the  gray boxes</t>
    </r>
  </si>
  <si>
    <r>
      <rPr>
        <b/>
        <sz val="10"/>
        <rFont val="Verdana"/>
        <family val="2"/>
      </rPr>
      <t xml:space="preserve">Step 1: </t>
    </r>
    <r>
      <rPr>
        <sz val="10"/>
        <rFont val="Verdana"/>
        <family val="2"/>
      </rPr>
      <t>This is your hypothesis</t>
    </r>
  </si>
  <si>
    <r>
      <rPr>
        <b/>
        <sz val="10"/>
        <rFont val="Verdana"/>
        <family val="2"/>
      </rPr>
      <t>Step 2:</t>
    </r>
    <r>
      <rPr>
        <sz val="10"/>
        <rFont val="Verdana"/>
        <family val="2"/>
      </rPr>
      <t xml:space="preserve"> Run your test and collect data</t>
    </r>
  </si>
  <si>
    <r>
      <rPr>
        <b/>
        <sz val="10"/>
        <rFont val="Verdana"/>
        <family val="2"/>
      </rPr>
      <t>Step 3:</t>
    </r>
    <r>
      <rPr>
        <sz val="10"/>
        <rFont val="Verdana"/>
        <family val="2"/>
      </rPr>
      <t xml:space="preserve"> Calculation, Enter your data in the  gray boxes</t>
    </r>
  </si>
  <si>
    <t>2 Relevant Blog Posts:</t>
  </si>
  <si>
    <t>Measuring Incrementality</t>
  </si>
  <si>
    <t>Blog: Iterative Path</t>
  </si>
  <si>
    <t>Computing Statistical Significance</t>
  </si>
  <si>
    <t>Bucket</t>
  </si>
  <si>
    <t>Quotes</t>
  </si>
  <si>
    <t>Views</t>
  </si>
  <si>
    <t>Response Rate</t>
  </si>
  <si>
    <t>Baseline</t>
  </si>
  <si>
    <t>Variation 1</t>
  </si>
  <si>
    <t>Variation 2</t>
  </si>
  <si>
    <t>Variation 3</t>
  </si>
  <si>
    <t>Variation 4</t>
  </si>
  <si>
    <t>Yes</t>
  </si>
  <si>
    <t>No</t>
  </si>
  <si>
    <t>"Lift" from Baseline Control</t>
  </si>
  <si>
    <t>N/A</t>
  </si>
  <si>
    <t>Statistically Significant Variation?</t>
  </si>
  <si>
    <t>Chi-sqr 95% confidence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</si>
</sst>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
    <numFmt numFmtId="165" formatCode="0.000"/>
  </numFmts>
  <fonts count="19" x14ac:knownFonts="1">
    <font>
      <sz val="10"/>
      <name val="Verdana"/>
    </font>
    <font>
      <b/>
      <sz val="10"/>
      <name val="Verdana"/>
      <family val="2"/>
    </font>
    <font>
      <b/>
      <sz val="10"/>
      <name val="Verdana"/>
      <family val="2"/>
    </font>
    <font>
      <sz val="8"/>
      <name val="Verdana"/>
      <family val="2"/>
    </font>
    <font>
      <sz val="12"/>
      <name val="Verdana"/>
      <family val="2"/>
    </font>
    <font>
      <u/>
      <sz val="10"/>
      <color indexed="12"/>
      <name val="Verdana"/>
      <family val="2"/>
    </font>
    <font>
      <sz val="11"/>
      <color indexed="9"/>
      <name val="Verdana"/>
      <family val="2"/>
    </font>
    <font>
      <b/>
      <sz val="12"/>
      <name val="Verdana"/>
      <family val="2"/>
    </font>
    <font>
      <sz val="11"/>
      <color indexed="9"/>
      <name val="Verdana"/>
      <family val="2"/>
    </font>
    <font>
      <sz val="10"/>
      <name val="Verdana"/>
      <family val="2"/>
    </font>
    <font>
      <b/>
      <sz val="10"/>
      <color indexed="10"/>
      <name val="Verdana"/>
      <family val="2"/>
    </font>
    <font>
      <sz val="10"/>
      <color theme="5" tint="-0.249977111117893"/>
      <name val="Verdana"/>
      <family val="2"/>
    </font>
    <font>
      <i/>
      <sz val="10"/>
      <name val="Verdana"/>
      <family val="2"/>
    </font>
    <font>
      <i/>
      <u/>
      <sz val="10"/>
      <color indexed="12"/>
      <name val="Verdana"/>
      <family val="2"/>
    </font>
    <font>
      <i/>
      <sz val="12"/>
      <name val="Verdana"/>
      <family val="2"/>
    </font>
    <font>
      <u/>
      <sz val="10"/>
      <color indexed="12"/>
      <name val="Verdana"/>
      <family val="2"/>
    </font>
    <font>
      <sz val="14"/>
      <name val="Verdana"/>
      <family val="2"/>
    </font>
    <font>
      <sz val="10"/>
      <color indexed="60"/>
      <name val="Verdana"/>
      <family val="2"/>
    </font>
    <font>
      <sz val="10"/>
      <name val="Verdana"/>
      <family val="2"/>
    </font>
  </fonts>
  <fills count="8">
    <fill>
      <patternFill patternType="none"/>
    </fill>
    <fill>
      <patternFill patternType="gray125"/>
    </fill>
    <fill>
      <patternFill patternType="solid">
        <fgColor indexed="9"/>
        <bgColor indexed="64"/>
      </patternFill>
    </fill>
    <fill>
      <patternFill patternType="solid">
        <fgColor indexed="55"/>
        <bgColor indexed="22"/>
      </patternFill>
    </fill>
    <fill>
      <patternFill patternType="solid">
        <fgColor indexed="55"/>
        <bgColor indexed="64"/>
      </patternFill>
    </fill>
    <fill>
      <patternFill patternType="solid">
        <fgColor theme="0"/>
        <bgColor indexed="64"/>
      </patternFill>
    </fill>
    <fill>
      <patternFill patternType="solid">
        <fgColor indexed="44"/>
        <bgColor indexed="64"/>
      </patternFill>
    </fill>
    <fill>
      <patternFill patternType="solid">
        <fgColor indexed="46"/>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5" fillId="0" borderId="0" applyNumberFormat="0" applyFill="0" applyBorder="0" applyAlignment="0" applyProtection="0">
      <alignment vertical="top"/>
      <protection locked="0"/>
    </xf>
    <xf numFmtId="9" fontId="18" fillId="0" borderId="0" applyFont="0" applyFill="0" applyBorder="0" applyAlignment="0" applyProtection="0"/>
  </cellStyleXfs>
  <cellXfs count="61">
    <xf numFmtId="0" fontId="0" fillId="0" borderId="0" xfId="0"/>
    <xf numFmtId="0" fontId="6" fillId="3" borderId="1" xfId="0" applyFont="1" applyFill="1" applyBorder="1" applyAlignment="1" applyProtection="1">
      <alignment vertical="center"/>
      <protection locked="0"/>
    </xf>
    <xf numFmtId="0" fontId="0" fillId="2" borderId="0" xfId="0" applyFill="1" applyAlignment="1" applyProtection="1">
      <alignment vertical="center" wrapText="1"/>
    </xf>
    <xf numFmtId="0" fontId="0" fillId="2" borderId="0" xfId="0" applyFill="1" applyAlignment="1" applyProtection="1">
      <alignment vertical="center"/>
      <protection locked="0"/>
    </xf>
    <xf numFmtId="0" fontId="0" fillId="0" borderId="0" xfId="0" applyAlignment="1">
      <alignment vertical="center"/>
    </xf>
    <xf numFmtId="0" fontId="0" fillId="0" borderId="0" xfId="0" applyAlignment="1" applyProtection="1">
      <alignment vertical="center"/>
      <protection locked="0"/>
    </xf>
    <xf numFmtId="0" fontId="2" fillId="2" borderId="0" xfId="0" applyFont="1" applyFill="1" applyAlignment="1" applyProtection="1">
      <alignment vertical="center"/>
      <protection locked="0"/>
    </xf>
    <xf numFmtId="0" fontId="0" fillId="2" borderId="0" xfId="0" applyFill="1" applyAlignment="1" applyProtection="1">
      <alignment vertical="center"/>
    </xf>
    <xf numFmtId="0" fontId="10" fillId="2" borderId="0" xfId="0" applyFont="1" applyFill="1" applyAlignment="1" applyProtection="1">
      <alignment vertical="center"/>
    </xf>
    <xf numFmtId="0" fontId="11" fillId="2" borderId="0" xfId="0" applyFont="1" applyFill="1" applyAlignment="1" applyProtection="1">
      <alignment vertical="center"/>
    </xf>
    <xf numFmtId="10" fontId="11" fillId="2" borderId="0" xfId="0" applyNumberFormat="1" applyFont="1" applyFill="1" applyAlignment="1" applyProtection="1">
      <alignment vertical="center"/>
    </xf>
    <xf numFmtId="164" fontId="11" fillId="2" borderId="0" xfId="0" applyNumberFormat="1" applyFont="1" applyFill="1" applyAlignment="1" applyProtection="1">
      <alignment vertical="center"/>
    </xf>
    <xf numFmtId="0" fontId="9" fillId="2" borderId="0" xfId="0" applyFont="1" applyFill="1" applyAlignment="1" applyProtection="1">
      <alignment vertical="center"/>
      <protection locked="0"/>
    </xf>
    <xf numFmtId="0" fontId="5" fillId="2" borderId="0" xfId="1" applyFill="1" applyAlignment="1" applyProtection="1">
      <alignment vertical="center"/>
      <protection locked="0"/>
    </xf>
    <xf numFmtId="0" fontId="9" fillId="5" borderId="0" xfId="0" applyFont="1" applyFill="1" applyAlignment="1">
      <alignment horizontal="right" vertical="center"/>
    </xf>
    <xf numFmtId="0" fontId="15" fillId="0" borderId="0" xfId="1" applyFont="1" applyAlignment="1" applyProtection="1">
      <alignment vertical="center"/>
    </xf>
    <xf numFmtId="0" fontId="5" fillId="2" borderId="0" xfId="1" applyFill="1" applyAlignment="1" applyProtection="1">
      <alignment vertical="center"/>
    </xf>
    <xf numFmtId="0" fontId="5" fillId="5" borderId="0" xfId="1" applyFill="1" applyAlignment="1" applyProtection="1">
      <alignment vertical="center"/>
    </xf>
    <xf numFmtId="0" fontId="0" fillId="5" borderId="0" xfId="0" applyFill="1" applyAlignment="1" applyProtection="1">
      <alignment vertical="center" wrapText="1"/>
    </xf>
    <xf numFmtId="0" fontId="15" fillId="5" borderId="0" xfId="1" applyFont="1" applyFill="1" applyAlignment="1" applyProtection="1">
      <alignment vertical="center"/>
    </xf>
    <xf numFmtId="0" fontId="0" fillId="5" borderId="0" xfId="0" applyFill="1" applyAlignment="1">
      <alignment vertical="center"/>
    </xf>
    <xf numFmtId="0" fontId="5" fillId="5" borderId="0" xfId="1" applyFill="1" applyAlignment="1" applyProtection="1">
      <alignment vertical="center"/>
      <protection locked="0"/>
    </xf>
    <xf numFmtId="0" fontId="0" fillId="5" borderId="0" xfId="0" applyFill="1" applyAlignment="1" applyProtection="1">
      <alignment vertical="center"/>
      <protection locked="0"/>
    </xf>
    <xf numFmtId="0" fontId="11" fillId="5" borderId="0" xfId="0" applyFont="1" applyFill="1" applyAlignment="1" applyProtection="1">
      <alignment vertical="center"/>
    </xf>
    <xf numFmtId="0" fontId="12" fillId="2" borderId="0" xfId="0" applyFont="1" applyFill="1" applyAlignment="1" applyProtection="1">
      <alignment vertical="center"/>
      <protection locked="0"/>
    </xf>
    <xf numFmtId="0" fontId="16" fillId="2" borderId="0" xfId="0" applyFont="1" applyFill="1" applyAlignment="1" applyProtection="1">
      <alignment vertical="center"/>
    </xf>
    <xf numFmtId="0" fontId="16" fillId="5" borderId="0" xfId="0" applyFont="1" applyFill="1" applyAlignment="1" applyProtection="1">
      <alignment vertical="center"/>
      <protection locked="0"/>
    </xf>
    <xf numFmtId="0" fontId="0" fillId="2" borderId="0" xfId="0" applyFill="1" applyAlignment="1" applyProtection="1">
      <alignment horizontal="center" vertical="center"/>
      <protection locked="0"/>
    </xf>
    <xf numFmtId="0" fontId="14" fillId="5" borderId="0" xfId="0" applyFont="1" applyFill="1" applyAlignment="1" applyProtection="1">
      <alignment vertical="center" wrapText="1"/>
      <protection locked="0"/>
    </xf>
    <xf numFmtId="0" fontId="12" fillId="5" borderId="0" xfId="0" applyFont="1" applyFill="1" applyAlignment="1" applyProtection="1">
      <alignment vertical="center" wrapText="1"/>
      <protection locked="0"/>
    </xf>
    <xf numFmtId="0" fontId="5" fillId="2" borderId="0" xfId="1" applyFill="1" applyAlignment="1" applyProtection="1">
      <alignment vertical="center" wrapText="1"/>
    </xf>
    <xf numFmtId="0" fontId="5" fillId="0" borderId="0" xfId="1" applyAlignment="1" applyProtection="1">
      <alignment vertical="center" wrapText="1"/>
    </xf>
    <xf numFmtId="0" fontId="4" fillId="5" borderId="0" xfId="0" applyFont="1" applyFill="1" applyAlignment="1" applyProtection="1">
      <alignment vertical="center" wrapText="1"/>
      <protection locked="0"/>
    </xf>
    <xf numFmtId="0" fontId="0" fillId="5" borderId="0" xfId="0" applyFill="1" applyAlignment="1" applyProtection="1">
      <alignment vertical="center" wrapText="1"/>
      <protection locked="0"/>
    </xf>
    <xf numFmtId="0" fontId="0" fillId="2" borderId="0" xfId="0" applyFill="1" applyAlignment="1" applyProtection="1">
      <alignment vertical="center" wrapText="1"/>
      <protection locked="0"/>
    </xf>
    <xf numFmtId="165" fontId="11" fillId="2" borderId="0" xfId="0" applyNumberFormat="1" applyFont="1" applyFill="1" applyAlignment="1" applyProtection="1">
      <alignment vertical="center"/>
    </xf>
    <xf numFmtId="0" fontId="0" fillId="2" borderId="0" xfId="0" applyFill="1" applyAlignment="1" applyProtection="1">
      <alignment vertical="center" wrapText="1"/>
      <protection locked="0"/>
    </xf>
    <xf numFmtId="0" fontId="17" fillId="2" borderId="0" xfId="0" applyFont="1" applyFill="1" applyAlignment="1" applyProtection="1">
      <alignment vertical="center"/>
    </xf>
    <xf numFmtId="10" fontId="0" fillId="7" borderId="1" xfId="0" applyNumberFormat="1" applyFill="1" applyBorder="1" applyAlignment="1" applyProtection="1">
      <alignment vertical="center"/>
    </xf>
    <xf numFmtId="0" fontId="7" fillId="6" borderId="2" xfId="0" applyFont="1" applyFill="1" applyBorder="1" applyAlignment="1" applyProtection="1">
      <alignment horizontal="center" vertical="center"/>
    </xf>
    <xf numFmtId="10" fontId="0" fillId="6" borderId="1" xfId="0" applyNumberFormat="1" applyFill="1" applyBorder="1" applyAlignment="1" applyProtection="1">
      <alignment vertical="center"/>
    </xf>
    <xf numFmtId="0" fontId="7" fillId="2" borderId="0" xfId="0" applyFont="1" applyFill="1" applyAlignment="1" applyProtection="1">
      <alignment horizontal="center" vertical="center"/>
      <protection locked="0"/>
    </xf>
    <xf numFmtId="0" fontId="8" fillId="4" borderId="0" xfId="0" applyFont="1" applyFill="1" applyAlignment="1" applyProtection="1">
      <alignment vertical="center" wrapText="1"/>
      <protection locked="0"/>
    </xf>
    <xf numFmtId="0" fontId="11" fillId="5" borderId="0" xfId="0" applyFont="1" applyFill="1" applyAlignment="1" applyProtection="1">
      <alignment vertical="center"/>
    </xf>
    <xf numFmtId="0" fontId="0" fillId="2" borderId="0" xfId="0" applyFill="1" applyAlignment="1" applyProtection="1">
      <alignment horizontal="left" vertical="center" wrapText="1"/>
      <protection locked="0"/>
    </xf>
    <xf numFmtId="0" fontId="5" fillId="5" borderId="0" xfId="1" applyFill="1" applyAlignment="1" applyProtection="1">
      <alignment horizontal="center" vertical="center"/>
      <protection locked="0"/>
    </xf>
    <xf numFmtId="0" fontId="13" fillId="2" borderId="0" xfId="1" applyFont="1" applyFill="1" applyAlignment="1" applyProtection="1">
      <alignment vertical="center" wrapText="1"/>
    </xf>
    <xf numFmtId="0" fontId="13" fillId="0" borderId="0" xfId="1" applyFont="1" applyAlignment="1" applyProtection="1">
      <alignment vertical="center" wrapText="1"/>
    </xf>
    <xf numFmtId="0" fontId="12" fillId="2" borderId="0" xfId="0" applyFont="1" applyFill="1" applyAlignment="1" applyProtection="1">
      <alignment horizontal="left" vertical="center" wrapText="1"/>
      <protection locked="0"/>
    </xf>
    <xf numFmtId="0" fontId="0" fillId="2" borderId="0" xfId="0" applyFill="1" applyAlignment="1" applyProtection="1">
      <alignment vertical="center" wrapText="1"/>
      <protection locked="0"/>
    </xf>
    <xf numFmtId="0" fontId="0" fillId="0" borderId="0" xfId="0" applyAlignment="1">
      <alignment horizontal="right"/>
    </xf>
    <xf numFmtId="10" fontId="0" fillId="0" borderId="0" xfId="2" applyNumberFormat="1" applyFont="1"/>
    <xf numFmtId="0" fontId="0" fillId="0" borderId="1" xfId="0" applyBorder="1"/>
    <xf numFmtId="0" fontId="0" fillId="0" borderId="1" xfId="0" applyBorder="1" applyAlignment="1">
      <alignment horizontal="right"/>
    </xf>
    <xf numFmtId="10" fontId="0" fillId="0" borderId="1" xfId="2" applyNumberFormat="1" applyFont="1" applyBorder="1"/>
    <xf numFmtId="0" fontId="9" fillId="0" borderId="1" xfId="0" applyFont="1" applyBorder="1" applyAlignment="1">
      <alignment horizontal="right"/>
    </xf>
    <xf numFmtId="0" fontId="0" fillId="0" borderId="1" xfId="0" applyBorder="1" applyAlignment="1">
      <alignment horizontal="right" vertical="center"/>
    </xf>
    <xf numFmtId="10" fontId="0" fillId="0" borderId="1" xfId="0" applyNumberFormat="1" applyBorder="1" applyAlignment="1">
      <alignment horizontal="right"/>
    </xf>
    <xf numFmtId="0" fontId="9" fillId="0" borderId="1" xfId="0" applyFont="1" applyBorder="1" applyAlignment="1">
      <alignment horizontal="right" vertical="center"/>
    </xf>
    <xf numFmtId="0" fontId="1" fillId="0" borderId="1" xfId="0" applyFont="1" applyBorder="1" applyAlignment="1">
      <alignment horizontal="left" vertical="top" wrapText="1"/>
    </xf>
    <xf numFmtId="0" fontId="1" fillId="0" borderId="1" xfId="0" applyFont="1" applyBorder="1" applyAlignment="1">
      <alignment horizontal="right" vertical="top" wrapText="1"/>
    </xf>
  </cellXfs>
  <cellStyles count="3">
    <cellStyle name="Hyperlink" xfId="1" builtinId="8"/>
    <cellStyle name="Normal" xfId="0" builtinId="0"/>
    <cellStyle name="Percent" xfId="2" builtinId="5"/>
  </cellStyles>
  <dxfs count="2">
    <dxf>
      <font>
        <b/>
        <i val="0"/>
      </font>
      <fill>
        <patternFill>
          <bgColor rgb="FFD7D7D7"/>
        </patternFill>
      </fill>
    </dxf>
    <dxf>
      <font>
        <b val="0"/>
        <i val="0"/>
      </font>
      <fill>
        <patternFill patternType="none">
          <bgColor indexed="65"/>
        </patternFill>
      </fill>
    </dxf>
  </dxfs>
  <tableStyles count="1" defaultTableStyle="TableStyleMedium9">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kaushik.net/avinash/excellent-analytics-tip1-statistical-significance/" TargetMode="External"/><Relationship Id="rId2" Type="http://schemas.openxmlformats.org/officeDocument/2006/relationships/hyperlink" Target="http://www.kaushik.net/avinash/controlled-experiments-measuring-incrementality/" TargetMode="External"/><Relationship Id="rId1" Type="http://schemas.openxmlformats.org/officeDocument/2006/relationships/hyperlink" Target="https://twitter.com/" TargetMode="External"/><Relationship Id="rId5" Type="http://schemas.openxmlformats.org/officeDocument/2006/relationships/hyperlink" Target="http://www.ats.ucla.edu/stat/mult_pkg/faq/general/tail_tests.htm" TargetMode="External"/><Relationship Id="rId4" Type="http://schemas.openxmlformats.org/officeDocument/2006/relationships/hyperlink" Target="http://iterativepath.wordpress.co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iterativepath.wordpress.com/2011/07/03/a-closer-look-at-ab-testing/" TargetMode="External"/><Relationship Id="rId7" Type="http://schemas.openxmlformats.org/officeDocument/2006/relationships/hyperlink" Target="http://iterativepath.wordpress.com/" TargetMode="External"/><Relationship Id="rId2" Type="http://schemas.openxmlformats.org/officeDocument/2006/relationships/hyperlink" Target="http://iterativepath.wordpress.com/2011/07/03/a-closer-look-at-ab-testing/" TargetMode="External"/><Relationship Id="rId1" Type="http://schemas.openxmlformats.org/officeDocument/2006/relationships/hyperlink" Target="http://iterativepath.wordpress.com/2011/07/03/a-closer-look-at-ab-testing/" TargetMode="External"/><Relationship Id="rId6" Type="http://schemas.openxmlformats.org/officeDocument/2006/relationships/hyperlink" Target="http://www.kaushik.net/avinash/excellent-analytics-tip1-statistical-significance/" TargetMode="External"/><Relationship Id="rId5" Type="http://schemas.openxmlformats.org/officeDocument/2006/relationships/hyperlink" Target="http://www.kaushik.net/avinash/controlled-experiments-measuring-incrementality/" TargetMode="External"/><Relationship Id="rId4" Type="http://schemas.openxmlformats.org/officeDocument/2006/relationships/hyperlink" Target="https://twitter.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I33"/>
  <sheetViews>
    <sheetView workbookViewId="0">
      <selection activeCell="H30" sqref="H30"/>
    </sheetView>
  </sheetViews>
  <sheetFormatPr defaultColWidth="11" defaultRowHeight="18" customHeight="1" x14ac:dyDescent="0.2"/>
  <cols>
    <col min="1" max="1" width="24.375" style="4" customWidth="1"/>
    <col min="2" max="3" width="14.75" style="4" customWidth="1"/>
    <col min="4" max="4" width="22" style="4" bestFit="1" customWidth="1"/>
    <col min="5" max="5" width="11" style="4"/>
    <col min="6" max="6" width="16.125" style="4" customWidth="1"/>
    <col min="7" max="16384" width="11" style="4"/>
  </cols>
  <sheetData>
    <row r="1" spans="1:9" ht="10.5" customHeight="1" x14ac:dyDescent="0.2">
      <c r="A1" s="2"/>
      <c r="B1" s="2"/>
      <c r="C1" s="2"/>
      <c r="D1" s="2"/>
      <c r="E1" s="2"/>
      <c r="F1" s="2"/>
      <c r="G1" s="2"/>
      <c r="H1" s="2"/>
      <c r="I1" s="2"/>
    </row>
    <row r="2" spans="1:9" ht="18" customHeight="1" x14ac:dyDescent="0.2">
      <c r="A2" s="25" t="s">
        <v>22</v>
      </c>
      <c r="B2" s="2"/>
      <c r="C2" s="2"/>
      <c r="D2" s="2"/>
      <c r="E2" s="2"/>
      <c r="F2" s="2"/>
      <c r="G2" s="2"/>
      <c r="H2" s="2"/>
      <c r="I2" s="2"/>
    </row>
    <row r="3" spans="1:9" ht="4.5" customHeight="1" x14ac:dyDescent="0.2">
      <c r="A3" s="2"/>
      <c r="B3" s="2"/>
      <c r="C3" s="2"/>
      <c r="D3" s="2"/>
      <c r="E3" s="2"/>
      <c r="F3" s="2"/>
      <c r="G3" s="2"/>
      <c r="H3" s="2"/>
      <c r="I3" s="2"/>
    </row>
    <row r="4" spans="1:9" ht="18" customHeight="1" x14ac:dyDescent="0.2">
      <c r="A4" s="14" t="s">
        <v>30</v>
      </c>
      <c r="B4" s="17" t="s">
        <v>31</v>
      </c>
      <c r="C4" s="16" t="s">
        <v>40</v>
      </c>
      <c r="D4" s="2"/>
      <c r="E4" s="2"/>
      <c r="F4" s="3"/>
      <c r="G4" s="2"/>
      <c r="H4" s="2"/>
      <c r="I4" s="2"/>
    </row>
    <row r="5" spans="1:9" ht="18" customHeight="1" x14ac:dyDescent="0.2">
      <c r="A5" s="14" t="s">
        <v>38</v>
      </c>
      <c r="B5" s="15" t="s">
        <v>41</v>
      </c>
      <c r="D5" s="13" t="s">
        <v>39</v>
      </c>
      <c r="E5" s="3"/>
      <c r="F5" s="3"/>
      <c r="G5" s="3"/>
      <c r="H5" s="3"/>
      <c r="I5" s="3"/>
    </row>
    <row r="6" spans="1:9" ht="18" customHeight="1" x14ac:dyDescent="0.2">
      <c r="A6" s="5"/>
      <c r="B6" s="3"/>
      <c r="C6" s="3"/>
      <c r="D6" s="3"/>
      <c r="E6" s="3"/>
      <c r="F6" s="3"/>
      <c r="G6" s="3"/>
      <c r="H6" s="3"/>
      <c r="I6" s="3"/>
    </row>
    <row r="7" spans="1:9" ht="21" customHeight="1" x14ac:dyDescent="0.2">
      <c r="A7" s="12" t="s">
        <v>32</v>
      </c>
      <c r="B7" s="3"/>
      <c r="C7" s="3"/>
      <c r="D7" s="42" t="s">
        <v>1</v>
      </c>
      <c r="E7" s="42"/>
      <c r="F7" s="42"/>
      <c r="G7" s="42"/>
      <c r="H7" s="6" t="s">
        <v>28</v>
      </c>
      <c r="I7" s="3"/>
    </row>
    <row r="8" spans="1:9" ht="18" customHeight="1" x14ac:dyDescent="0.2">
      <c r="A8" s="3"/>
      <c r="B8" s="3"/>
      <c r="C8" s="3"/>
      <c r="D8" s="3"/>
      <c r="E8" s="3"/>
      <c r="F8" s="3"/>
      <c r="G8" s="3"/>
      <c r="H8" s="3"/>
      <c r="I8" s="3"/>
    </row>
    <row r="9" spans="1:9" ht="18" customHeight="1" x14ac:dyDescent="0.2">
      <c r="A9" s="12" t="s">
        <v>33</v>
      </c>
      <c r="B9" s="3"/>
      <c r="C9" s="3"/>
      <c r="D9" s="3"/>
      <c r="E9" s="3"/>
      <c r="F9" s="3"/>
      <c r="G9" s="3"/>
      <c r="H9" s="3"/>
      <c r="I9" s="3"/>
    </row>
    <row r="10" spans="1:9" ht="18" customHeight="1" x14ac:dyDescent="0.2">
      <c r="A10" s="3"/>
      <c r="B10" s="3"/>
      <c r="C10" s="3"/>
      <c r="D10" s="3"/>
      <c r="E10" s="3"/>
      <c r="F10" s="3"/>
      <c r="G10" s="3"/>
      <c r="H10" s="3"/>
      <c r="I10" s="3"/>
    </row>
    <row r="11" spans="1:9" ht="18" customHeight="1" x14ac:dyDescent="0.2">
      <c r="A11" s="12" t="s">
        <v>34</v>
      </c>
      <c r="B11" s="3"/>
      <c r="C11" s="3"/>
      <c r="D11" s="3"/>
      <c r="F11" s="36"/>
      <c r="G11" s="36"/>
      <c r="H11" s="36"/>
      <c r="I11" s="36"/>
    </row>
    <row r="12" spans="1:9" ht="18" customHeight="1" x14ac:dyDescent="0.2">
      <c r="A12" s="3"/>
      <c r="B12" s="27" t="s">
        <v>24</v>
      </c>
      <c r="C12" s="27" t="s">
        <v>25</v>
      </c>
      <c r="D12" s="3"/>
      <c r="E12" s="36"/>
      <c r="F12" s="36"/>
      <c r="G12" s="36"/>
      <c r="H12" s="36"/>
      <c r="I12" s="36"/>
    </row>
    <row r="13" spans="1:9" ht="18" customHeight="1" x14ac:dyDescent="0.2">
      <c r="A13" s="3" t="s">
        <v>27</v>
      </c>
      <c r="B13" s="1">
        <v>5299</v>
      </c>
      <c r="C13" s="1">
        <v>5200</v>
      </c>
      <c r="D13" s="3"/>
      <c r="E13" s="44" t="s">
        <v>0</v>
      </c>
      <c r="F13" s="44"/>
      <c r="G13" s="44"/>
      <c r="H13" s="44"/>
      <c r="I13" s="44"/>
    </row>
    <row r="14" spans="1:9" ht="18" customHeight="1" x14ac:dyDescent="0.2">
      <c r="A14" s="3" t="s">
        <v>26</v>
      </c>
      <c r="B14" s="1">
        <v>25</v>
      </c>
      <c r="C14" s="1">
        <v>55</v>
      </c>
      <c r="D14" s="3"/>
      <c r="E14" s="44"/>
      <c r="F14" s="44"/>
      <c r="G14" s="44"/>
      <c r="H14" s="44"/>
      <c r="I14" s="44"/>
    </row>
    <row r="15" spans="1:9" ht="18" customHeight="1" x14ac:dyDescent="0.2">
      <c r="A15" s="3"/>
      <c r="B15" s="3"/>
      <c r="C15" s="3"/>
      <c r="D15" s="3"/>
      <c r="E15" s="44"/>
      <c r="F15" s="44"/>
      <c r="G15" s="44"/>
      <c r="H15" s="44"/>
      <c r="I15" s="44"/>
    </row>
    <row r="16" spans="1:9" ht="18" customHeight="1" x14ac:dyDescent="0.2">
      <c r="A16" s="3" t="s">
        <v>13</v>
      </c>
      <c r="B16" s="40">
        <f>B14/B13</f>
        <v>4.717871296471032E-3</v>
      </c>
      <c r="C16" s="40">
        <f>C14/C13</f>
        <v>1.0576923076923078E-2</v>
      </c>
      <c r="D16" s="3"/>
      <c r="E16" s="44"/>
      <c r="F16" s="44"/>
      <c r="G16" s="44"/>
      <c r="H16" s="44"/>
      <c r="I16" s="44"/>
    </row>
    <row r="17" spans="1:9" ht="18" customHeight="1" thickBot="1" x14ac:dyDescent="0.25">
      <c r="A17" s="3"/>
      <c r="B17" s="3"/>
      <c r="C17" s="3"/>
      <c r="D17" s="3"/>
      <c r="E17" s="44"/>
      <c r="F17" s="44"/>
      <c r="G17" s="44"/>
      <c r="H17" s="44"/>
      <c r="I17" s="44"/>
    </row>
    <row r="18" spans="1:9" ht="18" customHeight="1" thickBot="1" x14ac:dyDescent="0.25">
      <c r="A18" s="3" t="s">
        <v>14</v>
      </c>
      <c r="B18" s="3"/>
      <c r="C18" s="39" t="str">
        <f>IF(B29&gt;B28, "YES", "NO")</f>
        <v>YES</v>
      </c>
      <c r="D18" s="3"/>
      <c r="E18" s="44"/>
      <c r="F18" s="44"/>
      <c r="G18" s="44"/>
      <c r="H18" s="44"/>
      <c r="I18" s="44"/>
    </row>
    <row r="19" spans="1:9" ht="18" customHeight="1" x14ac:dyDescent="0.2">
      <c r="A19" s="3"/>
      <c r="B19" s="3"/>
      <c r="C19" s="41" t="str">
        <f>IF(C18="YES",IF(p_1&gt;p_2,"But the Treatment works against you","Treatment works"),"")</f>
        <v>Treatment works</v>
      </c>
      <c r="D19" s="3"/>
      <c r="E19" s="44"/>
      <c r="F19" s="44"/>
      <c r="G19" s="44"/>
      <c r="H19" s="44"/>
      <c r="I19" s="44"/>
    </row>
    <row r="20" spans="1:9" ht="39" customHeight="1" x14ac:dyDescent="0.2">
      <c r="A20" s="3"/>
      <c r="B20" s="3"/>
      <c r="C20" s="3"/>
      <c r="D20" s="3"/>
      <c r="E20" s="44"/>
      <c r="F20" s="44"/>
      <c r="G20" s="44"/>
      <c r="H20" s="44"/>
      <c r="I20" s="44"/>
    </row>
    <row r="21" spans="1:9" ht="18" customHeight="1" x14ac:dyDescent="0.2">
      <c r="A21" s="3"/>
      <c r="B21" s="3"/>
      <c r="C21" s="3"/>
      <c r="D21" s="3"/>
      <c r="E21" s="44"/>
      <c r="F21" s="44"/>
      <c r="G21" s="44"/>
      <c r="H21" s="44"/>
      <c r="I21" s="44"/>
    </row>
    <row r="22" spans="1:9" ht="18" customHeight="1" x14ac:dyDescent="0.2">
      <c r="A22" s="8" t="s">
        <v>29</v>
      </c>
      <c r="B22" s="7"/>
      <c r="C22" s="7"/>
      <c r="D22" s="7"/>
      <c r="E22" s="44"/>
      <c r="F22" s="44"/>
      <c r="G22" s="44"/>
      <c r="H22" s="44"/>
      <c r="I22" s="44"/>
    </row>
    <row r="23" spans="1:9" ht="18" customHeight="1" x14ac:dyDescent="0.2">
      <c r="A23" s="9" t="s">
        <v>16</v>
      </c>
      <c r="B23" s="10">
        <f>(B14+C14)/(B13+C13)</f>
        <v>7.6197733117439759E-3</v>
      </c>
      <c r="C23" s="9"/>
      <c r="D23" s="9"/>
      <c r="E23" s="44"/>
      <c r="F23" s="44"/>
      <c r="G23" s="44"/>
      <c r="H23" s="44"/>
      <c r="I23" s="44"/>
    </row>
    <row r="24" spans="1:9" ht="18" customHeight="1" x14ac:dyDescent="0.2">
      <c r="A24" s="9" t="s">
        <v>17</v>
      </c>
      <c r="B24" s="11">
        <f>SQRT(p*(1-p)*(1/n_1+1/n_2))</f>
        <v>1.6974047496426717E-3</v>
      </c>
      <c r="C24" s="9"/>
      <c r="D24" s="9"/>
      <c r="E24" s="44"/>
      <c r="F24" s="44"/>
      <c r="G24" s="44"/>
      <c r="H24" s="44"/>
      <c r="I24" s="44"/>
    </row>
    <row r="25" spans="1:9" ht="18" customHeight="1" x14ac:dyDescent="0.2">
      <c r="A25" s="9" t="s">
        <v>18</v>
      </c>
      <c r="B25" s="11">
        <f>(p_2-p_1)/SE</f>
        <v>3.4517705819342503</v>
      </c>
      <c r="C25" s="9"/>
      <c r="D25" s="9"/>
      <c r="E25" s="44"/>
      <c r="F25" s="44"/>
      <c r="G25" s="44"/>
      <c r="H25" s="44"/>
      <c r="I25" s="44"/>
    </row>
    <row r="26" spans="1:9" ht="18" customHeight="1" x14ac:dyDescent="0.2">
      <c r="A26" s="9" t="s">
        <v>19</v>
      </c>
      <c r="B26" s="11">
        <v>1.645</v>
      </c>
      <c r="C26" s="9"/>
      <c r="D26" s="9"/>
      <c r="E26" s="45" t="s">
        <v>2</v>
      </c>
      <c r="F26" s="45"/>
      <c r="G26" s="3"/>
      <c r="H26" s="3"/>
      <c r="I26" s="3"/>
    </row>
    <row r="27" spans="1:9" ht="18" customHeight="1" x14ac:dyDescent="0.2">
      <c r="A27" s="9" t="s">
        <v>20</v>
      </c>
      <c r="B27" s="11">
        <v>1.96</v>
      </c>
      <c r="C27" s="9"/>
      <c r="D27" s="9"/>
      <c r="E27" s="7"/>
      <c r="F27" s="3"/>
      <c r="G27" s="3"/>
      <c r="H27" s="3"/>
      <c r="I27" s="3"/>
    </row>
    <row r="28" spans="1:9" ht="18" customHeight="1" x14ac:dyDescent="0.2">
      <c r="A28" s="9" t="s">
        <v>21</v>
      </c>
      <c r="B28" s="11">
        <f>IF(VLOOKUP(D7,B30:E31,4)=1,B26,B27)</f>
        <v>1.96</v>
      </c>
      <c r="C28" s="9"/>
      <c r="D28" s="9"/>
      <c r="E28" s="9"/>
      <c r="F28" s="3"/>
      <c r="G28" s="3"/>
      <c r="H28" s="3"/>
      <c r="I28" s="3"/>
    </row>
    <row r="29" spans="1:9" ht="15" customHeight="1" x14ac:dyDescent="0.2">
      <c r="A29" s="37" t="s">
        <v>5</v>
      </c>
      <c r="B29" s="37">
        <f>IF(B28=B27,ABS(B25),B25)</f>
        <v>3.4517705819342503</v>
      </c>
      <c r="C29" s="9"/>
      <c r="D29" s="9"/>
      <c r="E29" s="9"/>
      <c r="F29" s="3"/>
      <c r="G29" s="3"/>
      <c r="H29" s="3"/>
      <c r="I29" s="3"/>
    </row>
    <row r="30" spans="1:9" ht="18" customHeight="1" x14ac:dyDescent="0.2">
      <c r="A30" s="23" t="s">
        <v>15</v>
      </c>
      <c r="B30" s="43" t="s">
        <v>6</v>
      </c>
      <c r="C30" s="43"/>
      <c r="D30" s="43"/>
      <c r="E30" s="23">
        <v>1</v>
      </c>
      <c r="F30" s="3"/>
      <c r="G30" s="3"/>
      <c r="H30" s="3"/>
      <c r="I30" s="3"/>
    </row>
    <row r="31" spans="1:9" ht="18" customHeight="1" x14ac:dyDescent="0.2">
      <c r="A31" s="23" t="s">
        <v>23</v>
      </c>
      <c r="B31" s="43" t="s">
        <v>7</v>
      </c>
      <c r="C31" s="43"/>
      <c r="D31" s="43"/>
      <c r="E31" s="23">
        <v>2</v>
      </c>
      <c r="F31" s="3"/>
      <c r="G31" s="3"/>
      <c r="H31" s="3"/>
      <c r="I31" s="3"/>
    </row>
    <row r="32" spans="1:9" ht="18" customHeight="1" x14ac:dyDescent="0.2">
      <c r="A32" s="3"/>
      <c r="B32" s="3"/>
      <c r="C32" s="3"/>
      <c r="D32" s="3"/>
      <c r="E32" s="3"/>
      <c r="F32" s="3"/>
      <c r="G32" s="3"/>
      <c r="H32" s="3"/>
      <c r="I32" s="3"/>
    </row>
    <row r="33" spans="1:9" ht="18" customHeight="1" x14ac:dyDescent="0.2">
      <c r="A33" s="5"/>
      <c r="B33" s="5"/>
      <c r="C33" s="5"/>
      <c r="D33" s="5"/>
      <c r="E33" s="5"/>
      <c r="F33" s="5"/>
      <c r="G33" s="5"/>
      <c r="H33" s="5"/>
      <c r="I33" s="5"/>
    </row>
  </sheetData>
  <mergeCells count="5">
    <mergeCell ref="D7:G7"/>
    <mergeCell ref="B30:D30"/>
    <mergeCell ref="B31:D31"/>
    <mergeCell ref="E13:I25"/>
    <mergeCell ref="E26:F26"/>
  </mergeCells>
  <phoneticPr fontId="3" type="noConversion"/>
  <dataValidations count="1">
    <dataValidation type="list" allowBlank="1" showInputMessage="1" showErrorMessage="1" sqref="D7:G7">
      <formula1>$B$30:$B$31</formula1>
    </dataValidation>
  </dataValidations>
  <hyperlinks>
    <hyperlink ref="B4" r:id="rId1" location="!/rags"/>
    <hyperlink ref="D5" r:id="rId2"/>
    <hyperlink ref="B5" r:id="rId3"/>
    <hyperlink ref="C4" r:id="rId4"/>
    <hyperlink ref="E26" r:id="rId5"/>
  </hyperlinks>
  <printOptions horizontalCentered="1" verticalCentered="1"/>
  <pageMargins left="0.75" right="0.75" top="1" bottom="1" header="0.5" footer="0.5"/>
  <headerFooter>
    <oddFooter>&amp;COccam's Razor by Avinash Kaushik</oddFooter>
  </headerFooter>
  <extLst>
    <ext xmlns:mx="http://schemas.microsoft.com/office/mac/excel/2008/main" uri="http://schemas.microsoft.com/office/mac/excel/2008/main">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O30"/>
  <sheetViews>
    <sheetView tabSelected="1" workbookViewId="0">
      <selection activeCell="A26" sqref="A26"/>
    </sheetView>
  </sheetViews>
  <sheetFormatPr defaultColWidth="11" defaultRowHeight="17.25" customHeight="1" x14ac:dyDescent="0.2"/>
  <cols>
    <col min="1" max="1" width="25.25" style="4" customWidth="1"/>
    <col min="2" max="4" width="14.75" style="4" customWidth="1"/>
    <col min="5" max="5" width="12.625" style="4" customWidth="1"/>
    <col min="6" max="12" width="11" style="4"/>
    <col min="13" max="13" width="11.75" style="4" customWidth="1"/>
    <col min="14" max="14" width="11.375" style="4" customWidth="1"/>
    <col min="15" max="15" width="12" style="4" customWidth="1"/>
    <col min="16" max="16384" width="11" style="4"/>
  </cols>
  <sheetData>
    <row r="1" spans="1:15" ht="36.75" customHeight="1" x14ac:dyDescent="0.2">
      <c r="A1" s="48" t="s">
        <v>3</v>
      </c>
      <c r="B1" s="48"/>
      <c r="C1" s="48"/>
      <c r="D1" s="48"/>
      <c r="E1" s="48"/>
      <c r="F1" s="48"/>
      <c r="G1" s="48"/>
      <c r="H1" s="48"/>
      <c r="I1" s="3"/>
    </row>
    <row r="2" spans="1:15" ht="17.25" customHeight="1" x14ac:dyDescent="0.2">
      <c r="A2" s="46" t="s">
        <v>8</v>
      </c>
      <c r="B2" s="47"/>
      <c r="C2" s="47"/>
      <c r="D2" s="28"/>
      <c r="E2" s="28"/>
      <c r="F2" s="29"/>
      <c r="G2" s="29"/>
      <c r="H2" s="24"/>
      <c r="I2" s="3"/>
    </row>
    <row r="3" spans="1:15" ht="38.25" x14ac:dyDescent="0.2">
      <c r="A3" s="30"/>
      <c r="B3" s="31"/>
      <c r="C3" s="32"/>
      <c r="D3" s="32"/>
      <c r="E3" s="32"/>
      <c r="F3" s="33"/>
      <c r="G3" s="33"/>
      <c r="H3" s="3"/>
      <c r="I3" s="3"/>
      <c r="J3" s="59" t="s">
        <v>42</v>
      </c>
      <c r="K3" s="60" t="s">
        <v>43</v>
      </c>
      <c r="L3" s="60" t="s">
        <v>44</v>
      </c>
      <c r="M3" s="60" t="s">
        <v>45</v>
      </c>
      <c r="N3" s="60" t="s">
        <v>53</v>
      </c>
      <c r="O3" s="60" t="s">
        <v>55</v>
      </c>
    </row>
    <row r="4" spans="1:15" ht="18" x14ac:dyDescent="0.2">
      <c r="A4" s="26" t="s">
        <v>22</v>
      </c>
      <c r="B4" s="33"/>
      <c r="C4" s="33"/>
      <c r="D4" s="33"/>
      <c r="E4" s="33"/>
      <c r="F4" s="33"/>
      <c r="G4" s="33"/>
      <c r="H4" s="33"/>
      <c r="I4" s="34"/>
      <c r="J4" s="52" t="s">
        <v>46</v>
      </c>
      <c r="K4" s="53">
        <v>32</v>
      </c>
      <c r="L4" s="53">
        <v>595</v>
      </c>
      <c r="M4" s="54">
        <f>K4/L4</f>
        <v>5.378151260504202E-2</v>
      </c>
      <c r="N4" s="55" t="s">
        <v>54</v>
      </c>
      <c r="O4" s="56"/>
    </row>
    <row r="5" spans="1:15" ht="17.25" customHeight="1" x14ac:dyDescent="0.2">
      <c r="A5" s="14" t="s">
        <v>30</v>
      </c>
      <c r="B5" s="17" t="s">
        <v>31</v>
      </c>
      <c r="C5" s="17" t="s">
        <v>40</v>
      </c>
      <c r="D5" s="18"/>
      <c r="E5" s="18"/>
      <c r="F5" s="33"/>
      <c r="G5" s="33"/>
      <c r="H5" s="33"/>
      <c r="I5" s="34"/>
      <c r="J5" s="52" t="s">
        <v>47</v>
      </c>
      <c r="K5" s="53">
        <v>30</v>
      </c>
      <c r="L5" s="53">
        <v>599</v>
      </c>
      <c r="M5" s="54">
        <f>K5/L5</f>
        <v>5.0083472454090151E-2</v>
      </c>
      <c r="N5" s="57">
        <f>M5-$M$4</f>
        <v>-3.6980401509518687E-3</v>
      </c>
      <c r="O5" s="58" t="s">
        <v>52</v>
      </c>
    </row>
    <row r="6" spans="1:15" ht="17.25" customHeight="1" x14ac:dyDescent="0.2">
      <c r="A6" s="14" t="s">
        <v>38</v>
      </c>
      <c r="B6" s="19" t="s">
        <v>41</v>
      </c>
      <c r="C6" s="20"/>
      <c r="D6" s="21" t="s">
        <v>39</v>
      </c>
      <c r="E6" s="22"/>
      <c r="F6" s="22"/>
      <c r="G6" s="22"/>
      <c r="H6" s="22"/>
      <c r="I6" s="3"/>
      <c r="J6" s="52" t="s">
        <v>48</v>
      </c>
      <c r="K6" s="53">
        <v>18</v>
      </c>
      <c r="L6" s="53">
        <v>622</v>
      </c>
      <c r="M6" s="54">
        <f>K6/L6</f>
        <v>2.8938906752411574E-2</v>
      </c>
      <c r="N6" s="57">
        <f t="shared" ref="N6:N8" si="0">M6-$M$4</f>
        <v>-2.4842605852630446E-2</v>
      </c>
      <c r="O6" s="58" t="s">
        <v>51</v>
      </c>
    </row>
    <row r="7" spans="1:15" ht="14.25" customHeight="1" x14ac:dyDescent="0.2">
      <c r="A7" s="20"/>
      <c r="B7" s="20"/>
      <c r="C7" s="20"/>
      <c r="D7" s="20"/>
      <c r="E7" s="20"/>
      <c r="F7" s="22"/>
      <c r="G7" s="22"/>
      <c r="H7" s="22"/>
      <c r="I7" s="3"/>
      <c r="J7" s="52" t="s">
        <v>49</v>
      </c>
      <c r="K7" s="53">
        <v>51</v>
      </c>
      <c r="L7" s="53">
        <v>606</v>
      </c>
      <c r="M7" s="54">
        <f>K7/L7</f>
        <v>8.4158415841584164E-2</v>
      </c>
      <c r="N7" s="57">
        <f t="shared" si="0"/>
        <v>3.0376903236542144E-2</v>
      </c>
      <c r="O7" s="58" t="s">
        <v>51</v>
      </c>
    </row>
    <row r="8" spans="1:15" ht="17.25" customHeight="1" x14ac:dyDescent="0.2">
      <c r="A8" s="12" t="s">
        <v>35</v>
      </c>
      <c r="B8" s="3"/>
      <c r="C8" s="12" t="s">
        <v>12</v>
      </c>
      <c r="E8" s="3"/>
      <c r="F8" s="3"/>
      <c r="G8" s="3"/>
      <c r="H8" s="3"/>
      <c r="I8" s="3"/>
      <c r="J8" s="52" t="s">
        <v>50</v>
      </c>
      <c r="K8" s="53">
        <v>38</v>
      </c>
      <c r="L8" s="53">
        <v>578</v>
      </c>
      <c r="M8" s="54">
        <f>K8/L8</f>
        <v>6.5743944636678195E-2</v>
      </c>
      <c r="N8" s="57">
        <f t="shared" si="0"/>
        <v>1.1962432031636175E-2</v>
      </c>
      <c r="O8" s="58" t="s">
        <v>52</v>
      </c>
    </row>
    <row r="9" spans="1:15" ht="17.25" customHeight="1" x14ac:dyDescent="0.2">
      <c r="A9" s="3"/>
      <c r="B9" s="3"/>
      <c r="C9" s="3"/>
      <c r="D9" s="3"/>
      <c r="E9" s="3"/>
      <c r="F9" s="3"/>
      <c r="G9" s="3"/>
      <c r="H9" s="3"/>
      <c r="I9" s="3"/>
      <c r="J9"/>
      <c r="K9" s="50"/>
      <c r="L9" s="50"/>
      <c r="M9"/>
      <c r="N9" s="50"/>
    </row>
    <row r="10" spans="1:15" ht="17.25" customHeight="1" x14ac:dyDescent="0.2">
      <c r="A10" s="12" t="s">
        <v>36</v>
      </c>
      <c r="B10" s="3"/>
      <c r="C10" s="3"/>
      <c r="D10" s="3"/>
      <c r="E10" s="49" t="s">
        <v>4</v>
      </c>
      <c r="F10" s="49"/>
      <c r="G10" s="49"/>
      <c r="H10" s="49"/>
      <c r="I10" s="49"/>
      <c r="J10"/>
      <c r="K10" s="50">
        <f>SUM(K4:K8)</f>
        <v>169</v>
      </c>
      <c r="L10" s="50">
        <f>SUM(L4:L8)</f>
        <v>3000</v>
      </c>
      <c r="M10" s="51">
        <f>_xlfn.STDEV.S(M4:M8)</f>
        <v>2.0362992362228962E-2</v>
      </c>
      <c r="N10" s="50"/>
    </row>
    <row r="11" spans="1:15" ht="17.25" customHeight="1" x14ac:dyDescent="0.2">
      <c r="A11" s="3"/>
      <c r="B11" s="3"/>
      <c r="C11" s="3"/>
      <c r="D11" s="3"/>
      <c r="E11" s="49"/>
      <c r="F11" s="49"/>
      <c r="G11" s="49"/>
      <c r="H11" s="49"/>
      <c r="I11" s="49"/>
    </row>
    <row r="12" spans="1:15" ht="17.25" customHeight="1" x14ac:dyDescent="0.2">
      <c r="A12" s="12" t="s">
        <v>37</v>
      </c>
      <c r="B12" s="3"/>
      <c r="C12" s="3"/>
      <c r="D12" s="3"/>
      <c r="E12" s="49"/>
      <c r="F12" s="49"/>
      <c r="G12" s="49"/>
      <c r="H12" s="49"/>
      <c r="I12" s="49"/>
    </row>
    <row r="13" spans="1:15" ht="17.25" customHeight="1" x14ac:dyDescent="0.2">
      <c r="A13" s="3"/>
      <c r="B13" s="27" t="s">
        <v>24</v>
      </c>
      <c r="C13" s="27" t="s">
        <v>25</v>
      </c>
      <c r="D13" s="3"/>
      <c r="E13" s="49"/>
      <c r="F13" s="49"/>
      <c r="G13" s="49"/>
      <c r="H13" s="49"/>
      <c r="I13" s="49"/>
    </row>
    <row r="14" spans="1:15" ht="17.25" customHeight="1" x14ac:dyDescent="0.2">
      <c r="A14" s="3" t="s">
        <v>27</v>
      </c>
      <c r="B14" s="1">
        <v>595</v>
      </c>
      <c r="C14" s="1">
        <v>578</v>
      </c>
      <c r="D14" s="3"/>
      <c r="E14" s="49"/>
      <c r="F14" s="49"/>
      <c r="G14" s="49"/>
      <c r="H14" s="49"/>
      <c r="I14" s="49"/>
    </row>
    <row r="15" spans="1:15" ht="17.25" customHeight="1" x14ac:dyDescent="0.2">
      <c r="A15" s="3" t="s">
        <v>26</v>
      </c>
      <c r="B15" s="1">
        <v>32</v>
      </c>
      <c r="C15" s="1">
        <v>38</v>
      </c>
      <c r="D15" s="3"/>
      <c r="E15" s="49"/>
      <c r="F15" s="49"/>
      <c r="G15" s="49"/>
      <c r="H15" s="49"/>
      <c r="I15" s="49"/>
    </row>
    <row r="16" spans="1:15" ht="17.25" customHeight="1" x14ac:dyDescent="0.2">
      <c r="A16" s="3"/>
      <c r="B16" s="3"/>
      <c r="C16" s="3"/>
      <c r="D16" s="3"/>
      <c r="E16" s="49"/>
      <c r="F16" s="49"/>
      <c r="G16" s="49"/>
      <c r="H16" s="49"/>
      <c r="I16" s="49"/>
    </row>
    <row r="17" spans="1:9" ht="17.25" customHeight="1" x14ac:dyDescent="0.2">
      <c r="A17" s="7" t="s">
        <v>13</v>
      </c>
      <c r="B17" s="38">
        <f>B15/B14</f>
        <v>5.378151260504202E-2</v>
      </c>
      <c r="C17" s="38">
        <f>C15/C14</f>
        <v>6.5743944636678195E-2</v>
      </c>
      <c r="D17" s="3"/>
      <c r="E17" s="49"/>
      <c r="F17" s="49"/>
      <c r="G17" s="49"/>
      <c r="H17" s="49"/>
      <c r="I17" s="49"/>
    </row>
    <row r="18" spans="1:9" ht="17.25" customHeight="1" thickBot="1" x14ac:dyDescent="0.25">
      <c r="A18" s="7"/>
      <c r="B18" s="7"/>
      <c r="C18" s="7"/>
      <c r="D18" s="3"/>
      <c r="E18" s="49"/>
      <c r="F18" s="49"/>
      <c r="G18" s="49"/>
      <c r="H18" s="49"/>
      <c r="I18" s="49"/>
    </row>
    <row r="19" spans="1:9" ht="17.25" customHeight="1" thickBot="1" x14ac:dyDescent="0.25">
      <c r="A19" s="7" t="s">
        <v>14</v>
      </c>
      <c r="B19" s="7"/>
      <c r="C19" s="39" t="str">
        <f>IF(B25&gt;B26,"YES","NO")</f>
        <v>NO</v>
      </c>
      <c r="D19" s="3"/>
      <c r="E19" s="3"/>
      <c r="F19" s="3"/>
      <c r="G19" s="3"/>
      <c r="H19" s="3"/>
      <c r="I19" s="3"/>
    </row>
    <row r="20" spans="1:9" ht="17.25" customHeight="1" x14ac:dyDescent="0.2">
      <c r="A20" s="3"/>
      <c r="B20" s="3"/>
      <c r="C20" s="41" t="str">
        <f>IF(C19="YES",IF(B17&gt;C17,"But the Treatment works against you","Treatment works"),"")</f>
        <v/>
      </c>
      <c r="D20" s="3"/>
      <c r="E20" s="3"/>
      <c r="F20" s="3"/>
      <c r="G20" s="3"/>
      <c r="H20" s="3"/>
      <c r="I20" s="3"/>
    </row>
    <row r="21" spans="1:9" ht="17.25" customHeight="1" x14ac:dyDescent="0.2">
      <c r="A21" s="3"/>
      <c r="B21" s="3"/>
      <c r="C21" s="3"/>
      <c r="D21" s="3"/>
      <c r="E21" s="3"/>
      <c r="F21" s="3"/>
      <c r="G21" s="3"/>
      <c r="H21" s="3"/>
      <c r="I21" s="3"/>
    </row>
    <row r="22" spans="1:9" ht="17.25" customHeight="1" x14ac:dyDescent="0.2">
      <c r="A22" s="8" t="s">
        <v>29</v>
      </c>
      <c r="B22" s="3"/>
      <c r="C22" s="3"/>
      <c r="D22" s="3"/>
      <c r="E22" s="3"/>
      <c r="F22" s="3"/>
      <c r="G22" s="3"/>
      <c r="H22" s="3"/>
      <c r="I22" s="3"/>
    </row>
    <row r="23" spans="1:9" ht="17.25" customHeight="1" x14ac:dyDescent="0.2">
      <c r="A23" s="9" t="s">
        <v>10</v>
      </c>
      <c r="B23" s="10"/>
      <c r="C23" s="3"/>
      <c r="D23" s="3"/>
      <c r="E23" s="3"/>
      <c r="F23" s="3"/>
      <c r="G23" s="3"/>
      <c r="H23" s="3"/>
      <c r="I23" s="3"/>
    </row>
    <row r="24" spans="1:9" ht="17.25" customHeight="1" x14ac:dyDescent="0.2">
      <c r="A24" s="9" t="s">
        <v>9</v>
      </c>
      <c r="B24" s="35">
        <f>B14/($B$14+$C$14)*(SUM($B$15:$C$15))</f>
        <v>35.507246376811594</v>
      </c>
      <c r="C24" s="35">
        <f>C14/($B$14+$C$14)*(SUM($B$15:$C$15))</f>
        <v>34.492753623188406</v>
      </c>
      <c r="D24" s="3"/>
      <c r="E24" s="3"/>
      <c r="F24" s="3"/>
      <c r="G24" s="3"/>
      <c r="H24" s="3"/>
      <c r="I24" s="3"/>
    </row>
    <row r="25" spans="1:9" ht="17.25" customHeight="1" x14ac:dyDescent="0.2">
      <c r="A25" s="9" t="s">
        <v>11</v>
      </c>
      <c r="B25" s="35">
        <f>((B24-B15)^2)/B24+((C24-C15)^2)/C24</f>
        <v>0.70304921968787504</v>
      </c>
      <c r="C25" s="3"/>
      <c r="D25" s="3"/>
      <c r="E25" s="3"/>
      <c r="F25" s="3"/>
      <c r="G25" s="3"/>
      <c r="H25" s="3"/>
      <c r="I25" s="3"/>
    </row>
    <row r="26" spans="1:9" ht="17.25" customHeight="1" x14ac:dyDescent="0.2">
      <c r="A26" s="9" t="s">
        <v>56</v>
      </c>
      <c r="B26" s="35">
        <v>3.84</v>
      </c>
      <c r="C26" s="3"/>
      <c r="D26" s="3"/>
      <c r="E26" s="3"/>
      <c r="F26" s="3"/>
      <c r="G26" s="3"/>
      <c r="H26" s="3"/>
      <c r="I26" s="3"/>
    </row>
    <row r="30" spans="1:9" ht="17.25" customHeight="1" x14ac:dyDescent="0.2">
      <c r="I30" s="4">
        <f>50%*(B15+C15)</f>
        <v>35</v>
      </c>
    </row>
  </sheetData>
  <mergeCells count="3">
    <mergeCell ref="A2:C2"/>
    <mergeCell ref="A1:H1"/>
    <mergeCell ref="E10:I18"/>
  </mergeCells>
  <phoneticPr fontId="3" type="noConversion"/>
  <hyperlinks>
    <hyperlink ref="A2" r:id="rId1"/>
    <hyperlink ref="B2" r:id="rId2" display="http://iterativepath.wordpress.com/2011/07/03/a-closer-look-at-ab-testing/"/>
    <hyperlink ref="C2" r:id="rId3" display="http://iterativepath.wordpress.com/2011/07/03/a-closer-look-at-ab-testing/"/>
    <hyperlink ref="B5" r:id="rId4" location="!/rags"/>
    <hyperlink ref="D6" r:id="rId5"/>
    <hyperlink ref="B6" r:id="rId6"/>
    <hyperlink ref="C5" r:id="rId7"/>
  </hyperlinks>
  <pageMargins left="0.75" right="0.75" top="1" bottom="1" header="0.5" footer="0.5"/>
  <headerFooter>
    <oddFooter>&amp;COccam's Razor by Avinash Kaushik</oddFooter>
  </headerFooter>
  <extLst>
    <ext xmlns:mx="http://schemas.microsoft.com/office/mac/excel/2008/main" uri="http://schemas.microsoft.com/office/mac/excel/2008/main">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8</vt:i4>
      </vt:variant>
    </vt:vector>
  </HeadingPairs>
  <TitlesOfParts>
    <vt:vector size="10" baseType="lpstr">
      <vt:lpstr>t-test</vt:lpstr>
      <vt:lpstr>chi-sqr</vt:lpstr>
      <vt:lpstr>E</vt:lpstr>
      <vt:lpstr>n_1</vt:lpstr>
      <vt:lpstr>n_2</vt:lpstr>
      <vt:lpstr>p</vt:lpstr>
      <vt:lpstr>p_1</vt:lpstr>
      <vt:lpstr>p_2</vt:lpstr>
      <vt:lpstr>SE</vt:lpstr>
      <vt:lpstr>Tail</vt:lpstr>
    </vt:vector>
  </TitlesOfParts>
  <Company>_x0004_Haas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Raghavan Srinivasan</dc:creator>
  <cp:lastModifiedBy>Brad</cp:lastModifiedBy>
  <cp:lastPrinted>2011-10-14T03:52:08Z</cp:lastPrinted>
  <dcterms:created xsi:type="dcterms:W3CDTF">2011-10-12T03:16:33Z</dcterms:created>
  <dcterms:modified xsi:type="dcterms:W3CDTF">2015-05-08T03:37:44Z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6b9119fd-e30c-4ced-ae4b-3f207163f904</vt:lpwstr>
  </property>
</Properties>
</file>